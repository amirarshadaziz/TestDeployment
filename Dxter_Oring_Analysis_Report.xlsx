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rArshadAbdAziz\Downloads\"/>
    </mc:Choice>
  </mc:AlternateContent>
  <xr:revisionPtr revIDLastSave="0" documentId="13_ncr:1_{3690C890-D7AC-4EED-9387-FA8B1F1B675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-Ring Comparison" sheetId="1" r:id="rId1"/>
    <sheet name="Vendor Comparison" sheetId="2" r:id="rId2"/>
    <sheet name="Vendor Evaluatio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E14" i="3"/>
  <c r="C14" i="3"/>
  <c r="B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D14" i="3" s="1"/>
  <c r="H7" i="3"/>
  <c r="F7" i="3"/>
  <c r="D7" i="3"/>
  <c r="H6" i="3"/>
  <c r="H14" i="3" s="1"/>
  <c r="F6" i="3"/>
  <c r="F14" i="3" s="1"/>
  <c r="D6" i="3"/>
  <c r="F13" i="1"/>
  <c r="F12" i="1"/>
  <c r="F11" i="1"/>
  <c r="F10" i="1"/>
</calcChain>
</file>

<file path=xl/sharedStrings.xml><?xml version="1.0" encoding="utf-8"?>
<sst xmlns="http://schemas.openxmlformats.org/spreadsheetml/2006/main" count="198" uniqueCount="140">
  <si>
    <t>O-RING SPECIFICATION COMPARISON</t>
  </si>
  <si>
    <t>Engineering Parts Analysis — Slippage Issue Resolution</t>
  </si>
  <si>
    <t xml:space="preserve">  ① CURRENT O-RING SPECIFICATION</t>
  </si>
  <si>
    <t>Part Name</t>
  </si>
  <si>
    <t>Part Number</t>
  </si>
  <si>
    <t>Inner Dia. (mm)</t>
  </si>
  <si>
    <t>Cross-Section (mm)</t>
  </si>
  <si>
    <t>Dimension</t>
  </si>
  <si>
    <t>Supplier</t>
  </si>
  <si>
    <t>Inventory (pcs)</t>
  </si>
  <si>
    <t>Storage Location</t>
  </si>
  <si>
    <t>O-Ring</t>
  </si>
  <si>
    <t>002664</t>
  </si>
  <si>
    <t>26 × 6</t>
  </si>
  <si>
    <t>Prime Parts Co.</t>
  </si>
  <si>
    <t>W21</t>
  </si>
  <si>
    <t xml:space="preserve">  ② ALTERNATIVE O-RING OPTIONS (Smaller Inner Diameter)</t>
  </si>
  <si>
    <t>ID Reduction (mm)</t>
  </si>
  <si>
    <t>Fit Assessment</t>
  </si>
  <si>
    <t>Recommendation</t>
  </si>
  <si>
    <t>002648</t>
  </si>
  <si>
    <t>24 × 6</t>
  </si>
  <si>
    <t>Tighter fit — reduced slippage</t>
  </si>
  <si>
    <t>★ RECOMMENDED</t>
  </si>
  <si>
    <t>002650</t>
  </si>
  <si>
    <t>25 × 6</t>
  </si>
  <si>
    <t>Slight reduction — moderate improvement</t>
  </si>
  <si>
    <t>002630</t>
  </si>
  <si>
    <t>22 × 6</t>
  </si>
  <si>
    <t>Too tight — risk of over-compression</t>
  </si>
  <si>
    <t>002655</t>
  </si>
  <si>
    <t>24 × 5</t>
  </si>
  <si>
    <t>Smaller ID &amp; cross-section — verify groove</t>
  </si>
  <si>
    <t xml:space="preserve">  ③ RECOMMENDATION RATIONALE</t>
  </si>
  <si>
    <t>RECOMMENDED REPLACEMENT: O-Ring 002648 (24 × 6 mm)
The current O-Ring 002664 (26 × 6 mm) presents a slippage issue caused by an oversized inner diameter. Among the evaluated alternatives, part 002648 (24 × 6 mm) provides a 2 mm inner diameter reduction while retaining the same 6 mm cross-sectional profile — ensuring groove compatibility without requiring hardware modifications. Parts with 22 mm ID risk over-compression, while 25 mm ID offers insufficient correction. The 24 × 5 mm variant requires groove re-validation. O-Ring 002648 is the optimal balance of fit correction and installation safety.</t>
  </si>
  <si>
    <t>VENDOR COMPARISON — O-Ring 002648 (24 × 6 mm)</t>
  </si>
  <si>
    <t>Procurement Analysis — All Identified Vendors</t>
  </si>
  <si>
    <t xml:space="preserve">  ALL IDENTIFIED VENDORS — Market Survey (5 Suppliers)</t>
  </si>
  <si>
    <t>Criteria</t>
  </si>
  <si>
    <t>Meier Pumpentechnik GmbH</t>
  </si>
  <si>
    <t>GlobalParts AG</t>
  </si>
  <si>
    <t>Nordvik Sealing AS</t>
  </si>
  <si>
    <t>TechRubber Europa BV</t>
  </si>
  <si>
    <t>MP-OR-2406</t>
  </si>
  <si>
    <t>GP-24X6-NBR</t>
  </si>
  <si>
    <t>NV-S2406-N70</t>
  </si>
  <si>
    <t>TRE-24060-B</t>
  </si>
  <si>
    <t>Location</t>
  </si>
  <si>
    <t>Germany</t>
  </si>
  <si>
    <t>Netherlands</t>
  </si>
  <si>
    <t>Norway</t>
  </si>
  <si>
    <t>Belgium</t>
  </si>
  <si>
    <t>Unit Price (EUR)</t>
  </si>
  <si>
    <t>0.38</t>
  </si>
  <si>
    <t>0.45</t>
  </si>
  <si>
    <t>0.31</t>
  </si>
  <si>
    <t>0.52</t>
  </si>
  <si>
    <t>0.41</t>
  </si>
  <si>
    <t>MOQ (pcs)</t>
  </si>
  <si>
    <t>500</t>
  </si>
  <si>
    <t>1,000</t>
  </si>
  <si>
    <t>2,000</t>
  </si>
  <si>
    <t>Lead Time (days)</t>
  </si>
  <si>
    <t>5–7</t>
  </si>
  <si>
    <t>10–14</t>
  </si>
  <si>
    <t>18–25</t>
  </si>
  <si>
    <t>12–16</t>
  </si>
  <si>
    <t>7–10</t>
  </si>
  <si>
    <t>Material</t>
  </si>
  <si>
    <t>NBR 70 Shore A</t>
  </si>
  <si>
    <t>NBR 72 Shore A</t>
  </si>
  <si>
    <t>Certification</t>
  </si>
  <si>
    <t>ISO 3601-1</t>
  </si>
  <si>
    <t>ISO 3601-1 / DIN</t>
  </si>
  <si>
    <t>ISO 3601-1 / NORSOK</t>
  </si>
  <si>
    <t>Tooling / Setup Fee</t>
  </si>
  <si>
    <t>None</t>
  </si>
  <si>
    <t>EUR 150 (first run)</t>
  </si>
  <si>
    <t>EUR 80 (first run)</t>
  </si>
  <si>
    <t>Volume Discount</t>
  </si>
  <si>
    <t>&gt;1,000 pcs: -8%</t>
  </si>
  <si>
    <t>&gt;2,000 pcs: -5%</t>
  </si>
  <si>
    <t>&gt;5,000 pcs: -12%</t>
  </si>
  <si>
    <t>&gt;1,000 pcs: -6%</t>
  </si>
  <si>
    <t>&gt;2,000 pcs: -7%</t>
  </si>
  <si>
    <t>Payment Terms</t>
  </si>
  <si>
    <t>Net 30</t>
  </si>
  <si>
    <t>Net 45</t>
  </si>
  <si>
    <t>Sample Availability</t>
  </si>
  <si>
    <t>Yes (free)</t>
  </si>
  <si>
    <t>Yes (paid, EUR 20)</t>
  </si>
  <si>
    <t>Quality Track Record</t>
  </si>
  <si>
    <t>***** Excellent</t>
  </si>
  <si>
    <t>**** Good</t>
  </si>
  <si>
    <t>*** Average</t>
  </si>
  <si>
    <t>On-Time Delivery Rate</t>
  </si>
  <si>
    <t>98%</t>
  </si>
  <si>
    <t>94%</t>
  </si>
  <si>
    <t>88%</t>
  </si>
  <si>
    <t>91%</t>
  </si>
  <si>
    <t>95%</t>
  </si>
  <si>
    <t>Existing Relationship</t>
  </si>
  <si>
    <t>Yes (current supplier)</t>
  </si>
  <si>
    <t>No</t>
  </si>
  <si>
    <t>Technical Support</t>
  </si>
  <si>
    <t>Dedicated rep</t>
  </si>
  <si>
    <t>Email / phone</t>
  </si>
  <si>
    <t>Phone / portal</t>
  </si>
  <si>
    <t>Returns / Warranty</t>
  </si>
  <si>
    <t>12 months</t>
  </si>
  <si>
    <t>6 months</t>
  </si>
  <si>
    <t xml:space="preserve">  RFQ SHORTLIST — VENDORS SELECTED FOR REQUEST FOR QUOTATION</t>
  </si>
  <si>
    <t>Vendor</t>
  </si>
  <si>
    <t>RFQ Status</t>
  </si>
  <si>
    <t>✔ SEND RFQ</t>
  </si>
  <si>
    <t>Note: Nordvik Sealing AS and TechRubber Europa BV are catalogued as reserve vendors. No RFQ will be issued at this stage due to higher pricing and no existing business relationship.</t>
  </si>
  <si>
    <t>VENDOR EVALUATION — WEIGHTED SCORING MATRIX</t>
  </si>
  <si>
    <t>O-Ring 002648 (24 x 6 mm) — RFQ Vendor Selection</t>
  </si>
  <si>
    <t xml:space="preserve">  SCORING SCALE:  1 = Poor   2 = Below Avg   3 = Average   4 = Good   5 = Excellent</t>
  </si>
  <si>
    <t>Evaluation Criteria</t>
  </si>
  <si>
    <t>Weight (%)</t>
  </si>
  <si>
    <t>Prime Parts Co.
Score (1-5)</t>
  </si>
  <si>
    <t>Prime Parts Co.
Weighted</t>
  </si>
  <si>
    <t>Meier Pumpentechnik
Score (1-5)</t>
  </si>
  <si>
    <t>Meier Pumpentechnik
Weighted</t>
  </si>
  <si>
    <t>GlobalParts AG
Score (1-5)</t>
  </si>
  <si>
    <t>GlobalParts AG
Weighted</t>
  </si>
  <si>
    <t>Unit Price Competitiveness</t>
  </si>
  <si>
    <t>Lead Time / Delivery Speed</t>
  </si>
  <si>
    <t>Quality &amp; Certification</t>
  </si>
  <si>
    <t>Existing Business Relationship</t>
  </si>
  <si>
    <t>Technical Support Quality</t>
  </si>
  <si>
    <t>Sample &amp; Trial Availability</t>
  </si>
  <si>
    <t>Warranty / Returns Policy</t>
  </si>
  <si>
    <t>TOTAL WEIGHTED SCORE</t>
  </si>
  <si>
    <t xml:space="preserve">  FINAL RECOMMENDATION</t>
  </si>
  <si>
    <t>SELECTED SUPPLIER:  Prime Parts Co.
Among the three RFQ vendors, Prime Parts Co. achieves the highest weighted score. Key advantages include the fastest lead time (5-7 days), a 98% on-time delivery rate, full ISO 3601-1 certification, and a dedicated technical representative. The existing supplier relationship eliminates qualification overhead and reduces procurement risk.
Meier Pumpentechnik GmbH is a credible backup with strong quality credentials (ISO 3601-1 / DIN), but a setup fee, slower delivery (10-14 days), and no existing relationship reduce its overall score. GlobalParts AG offers the lowest unit price but is penalised by long lead times (18-25 days), 88% delivery reliability, and only a 6-month warranty.
Action: Issue purchase order for O-Ring 002648 (24 x 6 mm) to Prime Parts Co. Qualify Meier Pumpentechnik GmbH as backup supplier.</t>
  </si>
  <si>
    <t>TOTAL WEIGHTED SCORE (Out of 5)</t>
  </si>
  <si>
    <t>**** Average</t>
  </si>
  <si>
    <t>Email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</si>
</sst>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b/>
      <sz val="10"/>
      <color rgb="FF1F2D3D"/>
      <name val="Arial"/>
    </font>
    <font>
      <sz val="10"/>
      <color rgb="FF1A1A1A"/>
      <name val="Arial"/>
    </font>
    <font>
      <b/>
      <sz val="10"/>
      <color rgb="FF217346"/>
      <name val="Arial"/>
    </font>
    <font>
      <b/>
      <sz val="10"/>
      <color rgb="FF7D5A00"/>
      <name val="Arial"/>
    </font>
    <font>
      <b/>
      <sz val="10"/>
      <color rgb="FFC0392B"/>
      <name val="Arial"/>
    </font>
    <font>
      <b/>
      <sz val="10"/>
      <color rgb="FFF0A500"/>
      <name val="Arial"/>
    </font>
    <font>
      <b/>
      <sz val="10"/>
      <color rgb="FF1A1A1A"/>
      <name val="Arial"/>
    </font>
    <font>
      <sz val="10"/>
      <color rgb="FF1F2D3D"/>
      <name val="Arial"/>
    </font>
    <font>
      <b/>
      <sz val="11"/>
      <color rgb="FFFFFFFF"/>
      <name val="Arial"/>
    </font>
    <font>
      <b/>
      <sz val="11"/>
      <color rgb="FFF0A500"/>
      <name val="Arial"/>
    </font>
    <font>
      <sz val="10"/>
      <name val="Arial"/>
    </font>
    <font>
      <i/>
      <sz val="9"/>
      <color rgb="FF555555"/>
      <name val="Arial"/>
    </font>
    <font>
      <b/>
      <sz val="10"/>
      <color rgb="FFFFC000"/>
      <name val="Arial"/>
      <family val="2"/>
    </font>
    <font>
      <sz val="10"/>
      <color rgb="FF1A1A1A"/>
      <name val="Arial"/>
      <family val="2"/>
    </font>
    <font>
      <sz val="10"/>
      <color rgb="FF1F2D3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2C3E50"/>
      </patternFill>
    </fill>
    <fill>
      <patternFill patternType="solid">
        <fgColor rgb="FF2E4A6B"/>
      </patternFill>
    </fill>
    <fill>
      <patternFill patternType="solid">
        <fgColor rgb="FF3A7BD5"/>
      </patternFill>
    </fill>
    <fill>
      <patternFill patternType="solid">
        <fgColor rgb="FFD6E4F7"/>
      </patternFill>
    </fill>
    <fill>
      <patternFill patternType="solid">
        <fgColor rgb="FFEEF4FB"/>
      </patternFill>
    </fill>
    <fill>
      <patternFill patternType="solid">
        <fgColor rgb="FFD9F2E3"/>
      </patternFill>
    </fill>
    <fill>
      <patternFill patternType="solid">
        <fgColor rgb="FFFFFFFF"/>
      </patternFill>
    </fill>
    <fill>
      <patternFill patternType="solid">
        <fgColor rgb="FFFFF3D0"/>
      </patternFill>
    </fill>
    <fill>
      <patternFill patternType="solid">
        <fgColor rgb="FFFAD7D3"/>
      </patternFill>
    </fill>
    <fill>
      <patternFill patternType="solid">
        <fgColor rgb="FF217346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3A7BD5"/>
      </left>
      <right style="thin">
        <color rgb="FF3A7BD5"/>
      </right>
      <top style="thin">
        <color rgb="FF3A7BD5"/>
      </top>
      <bottom style="thin">
        <color rgb="FF3A7BD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0A500"/>
      </left>
      <right style="medium">
        <color rgb="FFF0A500"/>
      </right>
      <top style="medium">
        <color rgb="FFF0A500"/>
      </top>
      <bottom style="medium">
        <color rgb="FFF0A500"/>
      </bottom>
      <diagonal/>
    </border>
    <border>
      <left style="medium">
        <color rgb="FF217346"/>
      </left>
      <right style="medium">
        <color rgb="FF217346"/>
      </right>
      <top style="medium">
        <color rgb="FF217346"/>
      </top>
      <bottom style="medium">
        <color rgb="FF217346"/>
      </bottom>
      <diagonal/>
    </border>
    <border>
      <left style="medium">
        <color rgb="FF3A7BD5"/>
      </left>
      <right style="medium">
        <color rgb="FF3A7BD5"/>
      </right>
      <top style="thin">
        <color rgb="FFCCCCCC"/>
      </top>
      <bottom style="thin">
        <color rgb="FFCCCCCC"/>
      </bottom>
      <diagonal/>
    </border>
    <border>
      <left style="medium">
        <color rgb="FF3A7BD5"/>
      </left>
      <right style="thin">
        <color rgb="FF3A7BD5"/>
      </right>
      <top style="thin">
        <color rgb="FFCCCCCC"/>
      </top>
      <bottom style="thin">
        <color rgb="FFCCCCCC"/>
      </bottom>
      <diagonal/>
    </border>
    <border>
      <left style="thin">
        <color rgb="FF3A7BD5"/>
      </left>
      <right style="medium">
        <color rgb="FF3A7BD5"/>
      </right>
      <top style="thin">
        <color rgb="FFCCCCCC"/>
      </top>
      <bottom style="thin">
        <color rgb="FFCCCCCC"/>
      </bottom>
      <diagonal/>
    </border>
    <border>
      <left style="medium">
        <color rgb="FF3A7BD5"/>
      </left>
      <right style="medium">
        <color rgb="FF3A7BD5"/>
      </right>
      <top style="medium">
        <color rgb="FF3A7BD5"/>
      </top>
      <bottom style="medium">
        <color rgb="FF3A7BD5"/>
      </bottom>
      <diagonal/>
    </border>
    <border>
      <left/>
      <right/>
      <top style="medium">
        <color rgb="FF217346"/>
      </top>
      <bottom/>
      <diagonal/>
    </border>
    <border>
      <left style="medium">
        <color rgb="FF217346"/>
      </left>
      <right/>
      <top/>
      <bottom/>
      <diagonal/>
    </border>
    <border>
      <left/>
      <right style="medium">
        <color rgb="FF217346"/>
      </right>
      <top style="medium">
        <color rgb="FF217346"/>
      </top>
      <bottom/>
      <diagonal/>
    </border>
    <border>
      <left/>
      <right style="medium">
        <color rgb="FF217346"/>
      </right>
      <top/>
      <bottom/>
      <diagonal/>
    </border>
    <border>
      <left style="medium">
        <color rgb="FF217346"/>
      </left>
      <right/>
      <top/>
      <bottom style="medium">
        <color rgb="FF217346"/>
      </bottom>
      <diagonal/>
    </border>
    <border>
      <left/>
      <right/>
      <top/>
      <bottom style="medium">
        <color rgb="FF217346"/>
      </bottom>
      <diagonal/>
    </border>
    <border>
      <left/>
      <right style="medium">
        <color rgb="FF217346"/>
      </right>
      <top/>
      <bottom style="medium">
        <color rgb="FF217346"/>
      </bottom>
      <diagonal/>
    </border>
    <border>
      <left/>
      <right/>
      <top/>
      <bottom/>
      <diagonal/>
    </border>
    <border>
      <left/>
      <right/>
      <top style="medium">
        <color rgb="FFF0A500"/>
      </top>
      <bottom style="medium">
        <color rgb="FFF0A500"/>
      </bottom>
      <diagonal/>
    </border>
    <border>
      <left/>
      <right style="medium">
        <color rgb="FFF0A500"/>
      </right>
      <top style="medium">
        <color rgb="FFF0A500"/>
      </top>
      <bottom style="medium">
        <color rgb="FFF0A5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9" fontId="5" fillId="7" borderId="2" xfId="0" applyNumberFormat="1" applyFont="1" applyFill="1" applyBorder="1" applyAlignment="1">
      <alignment horizontal="center" vertical="center"/>
    </xf>
    <xf numFmtId="2" fontId="5" fillId="6" borderId="7" xfId="0" applyNumberFormat="1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9" fontId="5" fillId="9" borderId="2" xfId="0" applyNumberFormat="1" applyFont="1" applyFill="1" applyBorder="1" applyAlignment="1">
      <alignment horizontal="center" vertical="center"/>
    </xf>
    <xf numFmtId="2" fontId="5" fillId="9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9" fontId="3" fillId="2" borderId="8" xfId="0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2" fontId="13" fillId="2" borderId="8" xfId="0" applyNumberFormat="1" applyFont="1" applyFill="1" applyBorder="1" applyAlignment="1">
      <alignment horizontal="center" vertical="center"/>
    </xf>
    <xf numFmtId="0" fontId="14" fillId="0" borderId="16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2" fontId="16" fillId="2" borderId="8" xfId="0" applyNumberFormat="1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left" vertical="center"/>
    </xf>
    <xf numFmtId="0" fontId="0" fillId="0" borderId="0" xfId="0"/>
    <xf numFmtId="0" fontId="2" fillId="3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3" fillId="4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8" borderId="4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0" xfId="0" applyFont="1" applyFill="1" applyAlignment="1">
      <alignment horizontal="center" vertical="center"/>
    </xf>
    <xf numFmtId="0" fontId="11" fillId="8" borderId="4" xfId="0" applyFont="1" applyFill="1" applyBorder="1" applyAlignment="1">
      <alignment horizontal="left" vertical="top" wrapText="1"/>
    </xf>
    <xf numFmtId="0" fontId="11" fillId="13" borderId="5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pane ySplit="5" topLeftCell="A6" activePane="bottomLeft" state="frozen"/>
      <selection pane="bottomLeft" activeCell="J14" sqref="J14"/>
    </sheetView>
  </sheetViews>
  <sheetFormatPr defaultRowHeight="14.4" x14ac:dyDescent="0.3"/>
  <cols>
    <col min="1" max="1" width="20" customWidth="1"/>
    <col min="2" max="2" width="18" customWidth="1"/>
    <col min="3" max="5" width="14" customWidth="1"/>
    <col min="6" max="8" width="18" customWidth="1"/>
  </cols>
  <sheetData>
    <row r="1" spans="1:8" ht="36" customHeight="1" x14ac:dyDescent="0.3">
      <c r="A1" s="59" t="s">
        <v>0</v>
      </c>
      <c r="B1" s="41"/>
      <c r="C1" s="41"/>
      <c r="D1" s="41"/>
      <c r="E1" s="41"/>
      <c r="F1" s="41"/>
      <c r="G1" s="41"/>
      <c r="H1" s="41"/>
    </row>
    <row r="2" spans="1:8" ht="19.95" customHeight="1" x14ac:dyDescent="0.3">
      <c r="A2" s="50" t="s">
        <v>1</v>
      </c>
      <c r="B2" s="41"/>
      <c r="C2" s="41"/>
      <c r="D2" s="41"/>
      <c r="E2" s="41"/>
      <c r="F2" s="41"/>
      <c r="G2" s="41"/>
      <c r="H2" s="41"/>
    </row>
    <row r="3" spans="1:8" ht="7.95" customHeight="1" x14ac:dyDescent="0.3"/>
    <row r="4" spans="1:8" ht="18" customHeight="1" x14ac:dyDescent="0.3">
      <c r="A4" s="48" t="s">
        <v>2</v>
      </c>
      <c r="B4" s="41"/>
      <c r="C4" s="41"/>
      <c r="D4" s="41"/>
      <c r="E4" s="41"/>
      <c r="F4" s="41"/>
      <c r="G4" s="41"/>
      <c r="H4" s="41"/>
    </row>
    <row r="5" spans="1:8" ht="26.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9.95" customHeight="1" x14ac:dyDescent="0.3">
      <c r="A6" s="2" t="s">
        <v>11</v>
      </c>
      <c r="B6" s="2" t="s">
        <v>12</v>
      </c>
      <c r="C6" s="2">
        <v>26</v>
      </c>
      <c r="D6" s="2">
        <v>6</v>
      </c>
      <c r="E6" s="2" t="s">
        <v>13</v>
      </c>
      <c r="F6" s="2" t="s">
        <v>14</v>
      </c>
      <c r="G6" s="2">
        <v>3000</v>
      </c>
      <c r="H6" s="2" t="s">
        <v>15</v>
      </c>
    </row>
    <row r="7" spans="1:8" ht="10.050000000000001" customHeight="1" x14ac:dyDescent="0.3"/>
    <row r="8" spans="1:8" ht="18" customHeight="1" x14ac:dyDescent="0.3">
      <c r="A8" s="48" t="s">
        <v>16</v>
      </c>
      <c r="B8" s="41"/>
      <c r="C8" s="41"/>
      <c r="D8" s="41"/>
      <c r="E8" s="41"/>
      <c r="F8" s="41"/>
      <c r="G8" s="41"/>
      <c r="H8" s="41"/>
    </row>
    <row r="9" spans="1:8" ht="26.4" x14ac:dyDescent="0.3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17</v>
      </c>
      <c r="G9" s="1" t="s">
        <v>18</v>
      </c>
      <c r="H9" s="1" t="s">
        <v>19</v>
      </c>
    </row>
    <row r="10" spans="1:8" ht="26.4" x14ac:dyDescent="0.3">
      <c r="A10" s="3" t="s">
        <v>11</v>
      </c>
      <c r="B10" s="3" t="s">
        <v>20</v>
      </c>
      <c r="C10" s="3">
        <v>24</v>
      </c>
      <c r="D10" s="3">
        <v>6</v>
      </c>
      <c r="E10" s="3" t="s">
        <v>21</v>
      </c>
      <c r="F10" s="3">
        <f>C10-C6</f>
        <v>-2</v>
      </c>
      <c r="G10" s="4" t="s">
        <v>22</v>
      </c>
      <c r="H10" s="5" t="s">
        <v>23</v>
      </c>
    </row>
    <row r="11" spans="1:8" ht="39.6" x14ac:dyDescent="0.3">
      <c r="A11" s="6" t="s">
        <v>11</v>
      </c>
      <c r="B11" s="6" t="s">
        <v>24</v>
      </c>
      <c r="C11" s="6">
        <v>25</v>
      </c>
      <c r="D11" s="6">
        <v>6</v>
      </c>
      <c r="E11" s="6" t="s">
        <v>25</v>
      </c>
      <c r="F11" s="6">
        <f>C11-C6</f>
        <v>-1</v>
      </c>
      <c r="G11" s="7" t="s">
        <v>26</v>
      </c>
      <c r="H11" s="6"/>
    </row>
    <row r="12" spans="1:8" ht="26.4" x14ac:dyDescent="0.3">
      <c r="A12" s="8" t="s">
        <v>11</v>
      </c>
      <c r="B12" s="8" t="s">
        <v>27</v>
      </c>
      <c r="C12" s="8">
        <v>22</v>
      </c>
      <c r="D12" s="8">
        <v>6</v>
      </c>
      <c r="E12" s="8" t="s">
        <v>28</v>
      </c>
      <c r="F12" s="8">
        <f>C12-C6</f>
        <v>-4</v>
      </c>
      <c r="G12" s="9" t="s">
        <v>29</v>
      </c>
      <c r="H12" s="8"/>
    </row>
    <row r="13" spans="1:8" ht="39.6" x14ac:dyDescent="0.3">
      <c r="A13" s="6" t="s">
        <v>11</v>
      </c>
      <c r="B13" s="6" t="s">
        <v>30</v>
      </c>
      <c r="C13" s="6">
        <v>24</v>
      </c>
      <c r="D13" s="6">
        <v>5</v>
      </c>
      <c r="E13" s="6" t="s">
        <v>31</v>
      </c>
      <c r="F13" s="6">
        <f>C13-C6</f>
        <v>-2</v>
      </c>
      <c r="G13" s="7" t="s">
        <v>32</v>
      </c>
      <c r="H13" s="6"/>
    </row>
    <row r="14" spans="1:8" ht="10.050000000000001" customHeight="1" x14ac:dyDescent="0.3"/>
    <row r="15" spans="1:8" ht="18" customHeight="1" x14ac:dyDescent="0.3">
      <c r="A15" s="49" t="s">
        <v>33</v>
      </c>
      <c r="B15" s="41"/>
      <c r="C15" s="41"/>
      <c r="D15" s="41"/>
      <c r="E15" s="41"/>
      <c r="F15" s="41"/>
      <c r="G15" s="41"/>
      <c r="H15" s="41"/>
    </row>
    <row r="16" spans="1:8" ht="19.95" customHeight="1" x14ac:dyDescent="0.3">
      <c r="A16" s="51" t="s">
        <v>34</v>
      </c>
      <c r="B16" s="52"/>
      <c r="C16" s="52"/>
      <c r="D16" s="52"/>
      <c r="E16" s="52"/>
      <c r="F16" s="52"/>
      <c r="G16" s="52"/>
      <c r="H16" s="53"/>
    </row>
    <row r="17" spans="1:8" ht="19.95" customHeight="1" x14ac:dyDescent="0.3">
      <c r="A17" s="54"/>
      <c r="B17" s="41"/>
      <c r="C17" s="41"/>
      <c r="D17" s="41"/>
      <c r="E17" s="41"/>
      <c r="F17" s="41"/>
      <c r="G17" s="41"/>
      <c r="H17" s="55"/>
    </row>
    <row r="18" spans="1:8" ht="19.95" customHeight="1" x14ac:dyDescent="0.3">
      <c r="A18" s="54"/>
      <c r="B18" s="41"/>
      <c r="C18" s="41"/>
      <c r="D18" s="41"/>
      <c r="E18" s="41"/>
      <c r="F18" s="41"/>
      <c r="G18" s="41"/>
      <c r="H18" s="55"/>
    </row>
    <row r="19" spans="1:8" ht="19.95" customHeight="1" x14ac:dyDescent="0.3">
      <c r="A19" s="56"/>
      <c r="B19" s="57"/>
      <c r="C19" s="57"/>
      <c r="D19" s="57"/>
      <c r="E19" s="57"/>
      <c r="F19" s="57"/>
      <c r="G19" s="57"/>
      <c r="H19" s="58"/>
    </row>
  </sheetData>
  <mergeCells count="6">
    <mergeCell ref="A4:H4"/>
    <mergeCell ref="A15:H15"/>
    <mergeCell ref="A2:H2"/>
    <mergeCell ref="A16:H19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tabSelected="1" workbookViewId="0">
      <selection activeCell="F10" sqref="F10"/>
    </sheetView>
  </sheetViews>
  <sheetFormatPr defaultRowHeight="14.4" x14ac:dyDescent="0.3"/>
  <cols>
    <col min="1" max="1" width="34.21875" bestFit="1" customWidth="1"/>
    <col min="2" max="2" width="20" customWidth="1"/>
    <col min="3" max="3" width="22" customWidth="1"/>
    <col min="4" max="4" width="20" customWidth="1"/>
    <col min="5" max="6" width="22" customWidth="1"/>
  </cols>
  <sheetData>
    <row r="1" spans="1:6" ht="36" customHeight="1" x14ac:dyDescent="0.3">
      <c r="A1" s="43" t="s">
        <v>35</v>
      </c>
      <c r="B1" s="41"/>
      <c r="C1" s="41"/>
      <c r="D1" s="41"/>
      <c r="E1" s="41"/>
      <c r="F1" s="41"/>
    </row>
    <row r="2" spans="1:6" ht="19.95" customHeight="1" x14ac:dyDescent="0.3">
      <c r="A2" s="42" t="s">
        <v>36</v>
      </c>
      <c r="B2" s="41"/>
      <c r="C2" s="41"/>
      <c r="D2" s="41"/>
      <c r="E2" s="41"/>
      <c r="F2" s="41"/>
    </row>
    <row r="3" spans="1:6" ht="7.95" customHeight="1" x14ac:dyDescent="0.3">
      <c r="A3" s="28"/>
      <c r="B3" s="28"/>
      <c r="C3" s="28"/>
      <c r="D3" s="28"/>
    </row>
    <row r="4" spans="1:6" ht="18" customHeight="1" x14ac:dyDescent="0.3">
      <c r="A4" s="44" t="s">
        <v>37</v>
      </c>
      <c r="B4" s="41"/>
      <c r="C4" s="41"/>
      <c r="D4" s="41"/>
      <c r="E4" s="41"/>
      <c r="F4" s="41"/>
    </row>
    <row r="5" spans="1:6" ht="28.05" customHeight="1" x14ac:dyDescent="0.3">
      <c r="A5" s="1" t="s">
        <v>38</v>
      </c>
      <c r="B5" s="1" t="s">
        <v>14</v>
      </c>
      <c r="C5" s="1" t="s">
        <v>39</v>
      </c>
      <c r="D5" s="1" t="s">
        <v>40</v>
      </c>
      <c r="E5" s="1" t="s">
        <v>41</v>
      </c>
      <c r="F5" s="1" t="s">
        <v>42</v>
      </c>
    </row>
    <row r="6" spans="1:6" ht="19.95" customHeight="1" x14ac:dyDescent="0.3">
      <c r="A6" s="10" t="s">
        <v>4</v>
      </c>
      <c r="B6" s="61" t="s">
        <v>20</v>
      </c>
      <c r="C6" s="61" t="s">
        <v>43</v>
      </c>
      <c r="D6" s="61" t="s">
        <v>44</v>
      </c>
      <c r="E6" s="8" t="s">
        <v>45</v>
      </c>
      <c r="F6" s="8" t="s">
        <v>46</v>
      </c>
    </row>
    <row r="7" spans="1:6" ht="19.95" customHeight="1" x14ac:dyDescent="0.3">
      <c r="A7" s="12" t="s">
        <v>47</v>
      </c>
      <c r="B7" s="61" t="s">
        <v>48</v>
      </c>
      <c r="C7" s="61" t="s">
        <v>48</v>
      </c>
      <c r="D7" s="61" t="s">
        <v>49</v>
      </c>
      <c r="E7" s="6" t="s">
        <v>50</v>
      </c>
      <c r="F7" s="6" t="s">
        <v>51</v>
      </c>
    </row>
    <row r="8" spans="1:6" ht="19.95" customHeight="1" x14ac:dyDescent="0.3">
      <c r="A8" s="10" t="s">
        <v>52</v>
      </c>
      <c r="B8" s="61" t="s">
        <v>53</v>
      </c>
      <c r="C8" s="61" t="s">
        <v>54</v>
      </c>
      <c r="D8" s="61" t="s">
        <v>55</v>
      </c>
      <c r="E8" s="8" t="s">
        <v>56</v>
      </c>
      <c r="F8" s="8" t="s">
        <v>57</v>
      </c>
    </row>
    <row r="9" spans="1:6" ht="19.95" customHeight="1" x14ac:dyDescent="0.3">
      <c r="A9" s="12" t="s">
        <v>58</v>
      </c>
      <c r="B9" s="61" t="s">
        <v>59</v>
      </c>
      <c r="C9" s="61" t="s">
        <v>60</v>
      </c>
      <c r="D9" s="61" t="s">
        <v>61</v>
      </c>
      <c r="E9" s="6" t="s">
        <v>59</v>
      </c>
      <c r="F9" s="6" t="s">
        <v>60</v>
      </c>
    </row>
    <row r="10" spans="1:6" ht="19.95" customHeight="1" x14ac:dyDescent="0.3">
      <c r="A10" s="10" t="s">
        <v>62</v>
      </c>
      <c r="B10" s="61" t="s">
        <v>63</v>
      </c>
      <c r="C10" s="61" t="s">
        <v>64</v>
      </c>
      <c r="D10" s="61" t="s">
        <v>65</v>
      </c>
      <c r="E10" s="8" t="s">
        <v>66</v>
      </c>
      <c r="F10" s="8" t="s">
        <v>67</v>
      </c>
    </row>
    <row r="11" spans="1:6" ht="19.95" customHeight="1" x14ac:dyDescent="0.3">
      <c r="A11" s="12" t="s">
        <v>68</v>
      </c>
      <c r="B11" s="61" t="s">
        <v>69</v>
      </c>
      <c r="C11" s="61" t="s">
        <v>69</v>
      </c>
      <c r="D11" s="61" t="s">
        <v>70</v>
      </c>
      <c r="E11" s="6" t="s">
        <v>69</v>
      </c>
      <c r="F11" s="6" t="s">
        <v>69</v>
      </c>
    </row>
    <row r="12" spans="1:6" ht="19.95" customHeight="1" x14ac:dyDescent="0.3">
      <c r="A12" s="10" t="s">
        <v>71</v>
      </c>
      <c r="B12" s="61" t="s">
        <v>72</v>
      </c>
      <c r="C12" s="61" t="s">
        <v>73</v>
      </c>
      <c r="D12" s="61" t="s">
        <v>72</v>
      </c>
      <c r="E12" s="8" t="s">
        <v>74</v>
      </c>
      <c r="F12" s="8" t="s">
        <v>72</v>
      </c>
    </row>
    <row r="13" spans="1:6" ht="19.95" customHeight="1" x14ac:dyDescent="0.3">
      <c r="A13" s="12" t="s">
        <v>75</v>
      </c>
      <c r="B13" s="61" t="s">
        <v>76</v>
      </c>
      <c r="C13" s="61" t="s">
        <v>77</v>
      </c>
      <c r="D13" s="61" t="s">
        <v>76</v>
      </c>
      <c r="E13" s="6" t="s">
        <v>76</v>
      </c>
      <c r="F13" s="6" t="s">
        <v>78</v>
      </c>
    </row>
    <row r="14" spans="1:6" ht="19.95" customHeight="1" x14ac:dyDescent="0.3">
      <c r="A14" s="10" t="s">
        <v>79</v>
      </c>
      <c r="B14" s="61" t="s">
        <v>80</v>
      </c>
      <c r="C14" s="61" t="s">
        <v>81</v>
      </c>
      <c r="D14" s="61" t="s">
        <v>82</v>
      </c>
      <c r="E14" s="8" t="s">
        <v>83</v>
      </c>
      <c r="F14" s="8" t="s">
        <v>84</v>
      </c>
    </row>
    <row r="15" spans="1:6" ht="19.95" customHeight="1" x14ac:dyDescent="0.3">
      <c r="A15" s="12" t="s">
        <v>85</v>
      </c>
      <c r="B15" s="61" t="s">
        <v>86</v>
      </c>
      <c r="C15" s="61" t="s">
        <v>86</v>
      </c>
      <c r="D15" s="61" t="s">
        <v>87</v>
      </c>
      <c r="E15" s="6" t="s">
        <v>86</v>
      </c>
      <c r="F15" s="6" t="s">
        <v>86</v>
      </c>
    </row>
    <row r="16" spans="1:6" ht="19.95" customHeight="1" x14ac:dyDescent="0.3">
      <c r="A16" s="10" t="s">
        <v>88</v>
      </c>
      <c r="B16" s="61" t="s">
        <v>89</v>
      </c>
      <c r="C16" s="61" t="s">
        <v>90</v>
      </c>
      <c r="D16" s="61" t="s">
        <v>89</v>
      </c>
      <c r="E16" s="8" t="s">
        <v>89</v>
      </c>
      <c r="F16" s="8" t="s">
        <v>89</v>
      </c>
    </row>
    <row r="17" spans="1:6" ht="19.95" customHeight="1" x14ac:dyDescent="0.3">
      <c r="A17" s="12" t="s">
        <v>91</v>
      </c>
      <c r="B17" s="61" t="s">
        <v>92</v>
      </c>
      <c r="C17" s="61" t="s">
        <v>93</v>
      </c>
      <c r="D17" s="61" t="s">
        <v>94</v>
      </c>
      <c r="E17" s="37" t="s">
        <v>138</v>
      </c>
      <c r="F17" s="37" t="s">
        <v>138</v>
      </c>
    </row>
    <row r="18" spans="1:6" ht="19.95" customHeight="1" x14ac:dyDescent="0.3">
      <c r="A18" s="10" t="s">
        <v>95</v>
      </c>
      <c r="B18" s="61" t="s">
        <v>96</v>
      </c>
      <c r="C18" s="61" t="s">
        <v>97</v>
      </c>
      <c r="D18" s="61" t="s">
        <v>98</v>
      </c>
      <c r="E18" s="8" t="s">
        <v>99</v>
      </c>
      <c r="F18" s="8" t="s">
        <v>100</v>
      </c>
    </row>
    <row r="19" spans="1:6" ht="19.95" customHeight="1" x14ac:dyDescent="0.3">
      <c r="A19" s="12" t="s">
        <v>101</v>
      </c>
      <c r="B19" s="61" t="s">
        <v>102</v>
      </c>
      <c r="C19" s="61" t="s">
        <v>103</v>
      </c>
      <c r="D19" s="61" t="s">
        <v>103</v>
      </c>
      <c r="E19" s="6" t="s">
        <v>103</v>
      </c>
      <c r="F19" s="6" t="s">
        <v>103</v>
      </c>
    </row>
    <row r="20" spans="1:6" ht="19.95" customHeight="1" x14ac:dyDescent="0.3">
      <c r="A20" s="10" t="s">
        <v>104</v>
      </c>
      <c r="B20" s="61" t="s">
        <v>105</v>
      </c>
      <c r="C20" s="61" t="s">
        <v>106</v>
      </c>
      <c r="D20" s="61" t="s">
        <v>106</v>
      </c>
      <c r="E20" s="8" t="s">
        <v>107</v>
      </c>
      <c r="F20" s="38" t="s">
        <v>139</v>
      </c>
    </row>
    <row r="21" spans="1:6" ht="19.95" customHeight="1" thickBot="1" x14ac:dyDescent="0.35">
      <c r="A21" s="12" t="s">
        <v>108</v>
      </c>
      <c r="B21" s="61" t="s">
        <v>109</v>
      </c>
      <c r="C21" s="61" t="s">
        <v>109</v>
      </c>
      <c r="D21" s="62" t="s">
        <v>110</v>
      </c>
      <c r="E21" s="37" t="s">
        <v>110</v>
      </c>
      <c r="F21" s="37" t="s">
        <v>110</v>
      </c>
    </row>
    <row r="22" spans="1:6" ht="15" thickBot="1" x14ac:dyDescent="0.35">
      <c r="A22" s="24" t="s">
        <v>137</v>
      </c>
      <c r="B22" s="39">
        <v>4.5</v>
      </c>
      <c r="C22" s="39">
        <v>4</v>
      </c>
      <c r="D22" s="39">
        <v>3.7</v>
      </c>
      <c r="E22" s="39">
        <v>3.3</v>
      </c>
      <c r="F22" s="39">
        <v>3</v>
      </c>
    </row>
    <row r="23" spans="1:6" ht="10.050000000000001" customHeight="1" x14ac:dyDescent="0.3">
      <c r="A23" s="28"/>
      <c r="B23" s="28"/>
      <c r="C23" s="28"/>
      <c r="D23" s="28"/>
    </row>
    <row r="24" spans="1:6" ht="18" customHeight="1" x14ac:dyDescent="0.3">
      <c r="A24" s="40" t="s">
        <v>111</v>
      </c>
      <c r="B24" s="41"/>
      <c r="C24" s="41"/>
      <c r="D24" s="41"/>
      <c r="E24" s="41"/>
      <c r="F24" s="41"/>
    </row>
    <row r="25" spans="1:6" ht="28.05" customHeight="1" x14ac:dyDescent="0.3">
      <c r="A25" s="29" t="s">
        <v>112</v>
      </c>
      <c r="B25" s="29" t="s">
        <v>4</v>
      </c>
      <c r="C25" s="29" t="s">
        <v>47</v>
      </c>
      <c r="D25" s="29" t="s">
        <v>52</v>
      </c>
      <c r="E25" s="29" t="s">
        <v>62</v>
      </c>
      <c r="F25" s="29" t="s">
        <v>113</v>
      </c>
    </row>
    <row r="26" spans="1:6" ht="19.95" customHeight="1" x14ac:dyDescent="0.3">
      <c r="A26" s="30" t="s">
        <v>14</v>
      </c>
      <c r="B26" s="31" t="s">
        <v>20</v>
      </c>
      <c r="C26" s="31" t="s">
        <v>48</v>
      </c>
      <c r="D26" s="31" t="s">
        <v>53</v>
      </c>
      <c r="E26" s="31" t="s">
        <v>63</v>
      </c>
      <c r="F26" s="32" t="s">
        <v>114</v>
      </c>
    </row>
    <row r="27" spans="1:6" ht="19.95" customHeight="1" x14ac:dyDescent="0.3">
      <c r="A27" s="10" t="s">
        <v>39</v>
      </c>
      <c r="B27" s="8" t="s">
        <v>43</v>
      </c>
      <c r="C27" s="8" t="s">
        <v>48</v>
      </c>
      <c r="D27" s="8" t="s">
        <v>54</v>
      </c>
      <c r="E27" s="8" t="s">
        <v>64</v>
      </c>
      <c r="F27" s="33" t="s">
        <v>114</v>
      </c>
    </row>
    <row r="28" spans="1:6" ht="19.95" customHeight="1" x14ac:dyDescent="0.3">
      <c r="A28" s="12" t="s">
        <v>40</v>
      </c>
      <c r="B28" s="6" t="s">
        <v>44</v>
      </c>
      <c r="C28" s="6" t="s">
        <v>49</v>
      </c>
      <c r="D28" s="6" t="s">
        <v>55</v>
      </c>
      <c r="E28" s="6" t="s">
        <v>65</v>
      </c>
      <c r="F28" s="34" t="s">
        <v>114</v>
      </c>
    </row>
    <row r="29" spans="1:6" ht="28.05" customHeight="1" x14ac:dyDescent="0.3">
      <c r="A29" s="45" t="s">
        <v>115</v>
      </c>
      <c r="B29" s="46"/>
      <c r="C29" s="46"/>
      <c r="D29" s="46"/>
      <c r="E29" s="46"/>
      <c r="F29" s="47"/>
    </row>
  </sheetData>
  <mergeCells count="5">
    <mergeCell ref="A24:F24"/>
    <mergeCell ref="A2:F2"/>
    <mergeCell ref="A1:F1"/>
    <mergeCell ref="A4:F4"/>
    <mergeCell ref="A29:F29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>
      <selection activeCell="A14" sqref="A14"/>
    </sheetView>
  </sheetViews>
  <sheetFormatPr defaultRowHeight="14.4" x14ac:dyDescent="0.3"/>
  <cols>
    <col min="1" max="1" width="30" customWidth="1"/>
    <col min="2" max="2" width="12" customWidth="1"/>
    <col min="3" max="3" width="13" customWidth="1"/>
    <col min="4" max="4" width="14" customWidth="1"/>
    <col min="5" max="5" width="13" customWidth="1"/>
    <col min="6" max="6" width="14" customWidth="1"/>
    <col min="7" max="7" width="13" customWidth="1"/>
    <col min="8" max="8" width="14" customWidth="1"/>
  </cols>
  <sheetData>
    <row r="1" spans="1:8" ht="36" customHeight="1" x14ac:dyDescent="0.3">
      <c r="A1" s="43" t="s">
        <v>116</v>
      </c>
      <c r="B1" s="41"/>
      <c r="C1" s="41"/>
      <c r="D1" s="41"/>
      <c r="E1" s="41"/>
      <c r="F1" s="41"/>
      <c r="G1" s="41"/>
      <c r="H1" s="41"/>
    </row>
    <row r="2" spans="1:8" ht="19.95" customHeight="1" x14ac:dyDescent="0.3">
      <c r="A2" s="42" t="s">
        <v>117</v>
      </c>
      <c r="B2" s="41"/>
      <c r="C2" s="41"/>
      <c r="D2" s="41"/>
      <c r="E2" s="41"/>
      <c r="F2" s="41"/>
      <c r="G2" s="41"/>
      <c r="H2" s="41"/>
    </row>
    <row r="3" spans="1:8" ht="7.95" customHeight="1" x14ac:dyDescent="0.3">
      <c r="A3" s="28"/>
      <c r="B3" s="28"/>
      <c r="C3" s="28"/>
      <c r="D3" s="28"/>
      <c r="E3" s="28"/>
      <c r="F3" s="28"/>
      <c r="G3" s="28"/>
      <c r="H3" s="28"/>
    </row>
    <row r="4" spans="1:8" ht="18" customHeight="1" x14ac:dyDescent="0.3">
      <c r="A4" s="44" t="s">
        <v>118</v>
      </c>
      <c r="B4" s="41"/>
      <c r="C4" s="41"/>
      <c r="D4" s="41"/>
      <c r="E4" s="41"/>
      <c r="F4" s="41"/>
      <c r="G4" s="41"/>
      <c r="H4" s="41"/>
    </row>
    <row r="5" spans="1:8" ht="40.049999999999997" customHeight="1" x14ac:dyDescent="0.3">
      <c r="A5" s="1" t="s">
        <v>119</v>
      </c>
      <c r="B5" s="1" t="s">
        <v>120</v>
      </c>
      <c r="C5" s="1" t="s">
        <v>121</v>
      </c>
      <c r="D5" s="1" t="s">
        <v>122</v>
      </c>
      <c r="E5" s="1" t="s">
        <v>123</v>
      </c>
      <c r="F5" s="1" t="s">
        <v>124</v>
      </c>
      <c r="G5" s="1" t="s">
        <v>125</v>
      </c>
      <c r="H5" s="1" t="s">
        <v>126</v>
      </c>
    </row>
    <row r="6" spans="1:8" ht="19.95" customHeight="1" x14ac:dyDescent="0.3">
      <c r="A6" s="14" t="s">
        <v>127</v>
      </c>
      <c r="B6" s="15">
        <v>0.2</v>
      </c>
      <c r="C6" s="35">
        <v>4</v>
      </c>
      <c r="D6" s="16">
        <f t="shared" ref="D6:D13" si="0">C6*B6</f>
        <v>0.8</v>
      </c>
      <c r="E6" s="11">
        <v>3</v>
      </c>
      <c r="F6" s="17">
        <f t="shared" ref="F6:F13" si="1">E6*B6</f>
        <v>0.60000000000000009</v>
      </c>
      <c r="G6" s="18">
        <v>5</v>
      </c>
      <c r="H6" s="17">
        <f t="shared" ref="H6:H13" si="2">G6*B6</f>
        <v>1</v>
      </c>
    </row>
    <row r="7" spans="1:8" ht="19.95" customHeight="1" x14ac:dyDescent="0.3">
      <c r="A7" s="19" t="s">
        <v>128</v>
      </c>
      <c r="B7" s="20">
        <v>0.2</v>
      </c>
      <c r="C7" s="36">
        <v>5</v>
      </c>
      <c r="D7" s="16">
        <f t="shared" si="0"/>
        <v>1</v>
      </c>
      <c r="E7" s="13">
        <v>3</v>
      </c>
      <c r="F7" s="21">
        <f t="shared" si="1"/>
        <v>0.60000000000000009</v>
      </c>
      <c r="G7" s="22">
        <v>2</v>
      </c>
      <c r="H7" s="21">
        <f t="shared" si="2"/>
        <v>0.4</v>
      </c>
    </row>
    <row r="8" spans="1:8" ht="19.95" customHeight="1" x14ac:dyDescent="0.3">
      <c r="A8" s="14" t="s">
        <v>129</v>
      </c>
      <c r="B8" s="15">
        <v>0.2</v>
      </c>
      <c r="C8" s="36">
        <v>5</v>
      </c>
      <c r="D8" s="16">
        <f t="shared" si="0"/>
        <v>1</v>
      </c>
      <c r="E8" s="23">
        <v>4</v>
      </c>
      <c r="F8" s="17">
        <f t="shared" si="1"/>
        <v>0.8</v>
      </c>
      <c r="G8" s="11">
        <v>3</v>
      </c>
      <c r="H8" s="17">
        <f t="shared" si="2"/>
        <v>0.60000000000000009</v>
      </c>
    </row>
    <row r="9" spans="1:8" ht="19.95" customHeight="1" x14ac:dyDescent="0.3">
      <c r="A9" s="19" t="s">
        <v>95</v>
      </c>
      <c r="B9" s="20">
        <v>0.15</v>
      </c>
      <c r="C9" s="36">
        <v>5</v>
      </c>
      <c r="D9" s="16">
        <f t="shared" si="0"/>
        <v>0.75</v>
      </c>
      <c r="E9" s="23">
        <v>4</v>
      </c>
      <c r="F9" s="21">
        <f t="shared" si="1"/>
        <v>0.6</v>
      </c>
      <c r="G9" s="13">
        <v>3</v>
      </c>
      <c r="H9" s="21">
        <f t="shared" si="2"/>
        <v>0.44999999999999996</v>
      </c>
    </row>
    <row r="10" spans="1:8" ht="19.95" customHeight="1" x14ac:dyDescent="0.3">
      <c r="A10" s="14" t="s">
        <v>130</v>
      </c>
      <c r="B10" s="15">
        <v>0.1</v>
      </c>
      <c r="C10" s="36">
        <v>5</v>
      </c>
      <c r="D10" s="16">
        <f t="shared" si="0"/>
        <v>0.5</v>
      </c>
      <c r="E10" s="22">
        <v>1</v>
      </c>
      <c r="F10" s="17">
        <f t="shared" si="1"/>
        <v>0.1</v>
      </c>
      <c r="G10" s="22">
        <v>1</v>
      </c>
      <c r="H10" s="17">
        <f t="shared" si="2"/>
        <v>0.1</v>
      </c>
    </row>
    <row r="11" spans="1:8" ht="19.95" customHeight="1" x14ac:dyDescent="0.3">
      <c r="A11" s="19" t="s">
        <v>131</v>
      </c>
      <c r="B11" s="20">
        <v>0.05</v>
      </c>
      <c r="C11" s="36">
        <v>5</v>
      </c>
      <c r="D11" s="16">
        <f t="shared" si="0"/>
        <v>0.25</v>
      </c>
      <c r="E11" s="13">
        <v>3</v>
      </c>
      <c r="F11" s="21">
        <f t="shared" si="1"/>
        <v>0.15000000000000002</v>
      </c>
      <c r="G11" s="22">
        <v>2</v>
      </c>
      <c r="H11" s="21">
        <f t="shared" si="2"/>
        <v>0.1</v>
      </c>
    </row>
    <row r="12" spans="1:8" ht="19.95" customHeight="1" x14ac:dyDescent="0.3">
      <c r="A12" s="14" t="s">
        <v>132</v>
      </c>
      <c r="B12" s="15">
        <v>0.05</v>
      </c>
      <c r="C12" s="36">
        <v>5</v>
      </c>
      <c r="D12" s="16">
        <f t="shared" si="0"/>
        <v>0.25</v>
      </c>
      <c r="E12" s="23">
        <v>4</v>
      </c>
      <c r="F12" s="17">
        <f t="shared" si="1"/>
        <v>0.2</v>
      </c>
      <c r="G12" s="18">
        <v>5</v>
      </c>
      <c r="H12" s="17">
        <f t="shared" si="2"/>
        <v>0.25</v>
      </c>
    </row>
    <row r="13" spans="1:8" ht="19.95" customHeight="1" x14ac:dyDescent="0.3">
      <c r="A13" s="19" t="s">
        <v>133</v>
      </c>
      <c r="B13" s="20">
        <v>0.05</v>
      </c>
      <c r="C13" s="36">
        <v>5</v>
      </c>
      <c r="D13" s="16">
        <f t="shared" si="0"/>
        <v>0.25</v>
      </c>
      <c r="E13" s="18">
        <v>5</v>
      </c>
      <c r="F13" s="21">
        <f t="shared" si="1"/>
        <v>0.25</v>
      </c>
      <c r="G13" s="13">
        <v>3</v>
      </c>
      <c r="H13" s="21">
        <f t="shared" si="2"/>
        <v>0.15000000000000002</v>
      </c>
    </row>
    <row r="14" spans="1:8" ht="25.95" customHeight="1" x14ac:dyDescent="0.3">
      <c r="A14" s="24" t="s">
        <v>134</v>
      </c>
      <c r="B14" s="25">
        <f t="shared" ref="B14:H14" si="3">SUM(B6:B13)</f>
        <v>1.0000000000000002</v>
      </c>
      <c r="C14" s="26">
        <f t="shared" si="3"/>
        <v>39</v>
      </c>
      <c r="D14" s="27">
        <f t="shared" si="3"/>
        <v>4.8</v>
      </c>
      <c r="E14" s="26">
        <f t="shared" si="3"/>
        <v>27</v>
      </c>
      <c r="F14" s="27">
        <f t="shared" si="3"/>
        <v>3.3000000000000003</v>
      </c>
      <c r="G14" s="26">
        <f t="shared" si="3"/>
        <v>24</v>
      </c>
      <c r="H14" s="27">
        <f t="shared" si="3"/>
        <v>3.0500000000000003</v>
      </c>
    </row>
    <row r="15" spans="1:8" ht="12" customHeight="1" x14ac:dyDescent="0.3">
      <c r="A15" s="28"/>
      <c r="B15" s="28"/>
      <c r="C15" s="28"/>
      <c r="D15" s="28"/>
      <c r="E15" s="28"/>
      <c r="F15" s="28"/>
      <c r="G15" s="28"/>
      <c r="H15" s="28"/>
    </row>
    <row r="16" spans="1:8" ht="18" customHeight="1" x14ac:dyDescent="0.3">
      <c r="A16" s="40" t="s">
        <v>135</v>
      </c>
      <c r="B16" s="41"/>
      <c r="C16" s="41"/>
      <c r="D16" s="41"/>
      <c r="E16" s="41"/>
      <c r="F16" s="41"/>
      <c r="G16" s="41"/>
      <c r="H16" s="41"/>
    </row>
    <row r="17" spans="1:8" ht="22.05" customHeight="1" x14ac:dyDescent="0.3">
      <c r="A17" s="60" t="s">
        <v>136</v>
      </c>
      <c r="B17" s="52"/>
      <c r="C17" s="52"/>
      <c r="D17" s="52"/>
      <c r="E17" s="52"/>
      <c r="F17" s="52"/>
      <c r="G17" s="52"/>
      <c r="H17" s="53"/>
    </row>
    <row r="18" spans="1:8" ht="22.05" customHeight="1" x14ac:dyDescent="0.3">
      <c r="A18" s="54"/>
      <c r="B18" s="41"/>
      <c r="C18" s="41"/>
      <c r="D18" s="41"/>
      <c r="E18" s="41"/>
      <c r="F18" s="41"/>
      <c r="G18" s="41"/>
      <c r="H18" s="55"/>
    </row>
    <row r="19" spans="1:8" ht="22.05" customHeight="1" x14ac:dyDescent="0.3">
      <c r="A19" s="54"/>
      <c r="B19" s="41"/>
      <c r="C19" s="41"/>
      <c r="D19" s="41"/>
      <c r="E19" s="41"/>
      <c r="F19" s="41"/>
      <c r="G19" s="41"/>
      <c r="H19" s="55"/>
    </row>
    <row r="20" spans="1:8" ht="22.05" customHeight="1" x14ac:dyDescent="0.3">
      <c r="A20" s="54"/>
      <c r="B20" s="41"/>
      <c r="C20" s="41"/>
      <c r="D20" s="41"/>
      <c r="E20" s="41"/>
      <c r="F20" s="41"/>
      <c r="G20" s="41"/>
      <c r="H20" s="55"/>
    </row>
    <row r="21" spans="1:8" ht="22.05" customHeight="1" x14ac:dyDescent="0.3">
      <c r="A21" s="56"/>
      <c r="B21" s="57"/>
      <c r="C21" s="57"/>
      <c r="D21" s="57"/>
      <c r="E21" s="57"/>
      <c r="F21" s="57"/>
      <c r="G21" s="57"/>
      <c r="H21" s="58"/>
    </row>
  </sheetData>
  <mergeCells count="5">
    <mergeCell ref="A4:H4"/>
    <mergeCell ref="A16:H16"/>
    <mergeCell ref="A2:H2"/>
    <mergeCell ref="A1:H1"/>
    <mergeCell ref="A17:H2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O-Ring Comparison</vt:lpstr>
      <vt:lpstr>Vendor Comparison</vt:lpstr>
      <vt:lpstr>Vendor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Arshad Abd Aziz</cp:lastModifiedBy>
  <dcterms:created xsi:type="dcterms:W3CDTF">2026-04-20T07:56:41Z</dcterms:created>
  <dcterms:modified xsi:type="dcterms:W3CDTF">2026-04-20T08:38:02Z</dcterms:modified>
</cp:coreProperties>
</file>